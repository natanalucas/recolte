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ftimad/Desktop/Fehizoro/recolte/"/>
    </mc:Choice>
  </mc:AlternateContent>
  <xr:revisionPtr revIDLastSave="0" documentId="13_ncr:1_{F8D46659-D0D1-EE46-B015-A9CD378A64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Print_Titles" localSheetId="0">Feuil1!$17:$17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M31" i="1"/>
  <c r="M19" i="1"/>
  <c r="L19" i="1"/>
  <c r="O19" i="1" s="1"/>
  <c r="H35" i="1" l="1"/>
</calcChain>
</file>

<file path=xl/sharedStrings.xml><?xml version="1.0" encoding="utf-8"?>
<sst xmlns="http://schemas.openxmlformats.org/spreadsheetml/2006/main" count="104" uniqueCount="97">
  <si>
    <t>LOCALISATION EXPLOITATION</t>
  </si>
  <si>
    <t>N° PARCELLE</t>
  </si>
  <si>
    <t>NOMBRE DE PIEDS</t>
  </si>
  <si>
    <t>COORDONNEES GPS</t>
  </si>
  <si>
    <t>DATE CONTROLE INTERNE</t>
  </si>
  <si>
    <t>N°</t>
  </si>
  <si>
    <t>REGISTRES DES PRODUCTEURS</t>
  </si>
  <si>
    <t>NOM  DU PLANTEUR (Contact)</t>
  </si>
  <si>
    <t>ADRESSE ADMINISTRATIVE ET COORDONNEE TELEPHONQIUE</t>
  </si>
  <si>
    <t>STATUT INTERNE/ N° GGN GLOBALGAP</t>
  </si>
  <si>
    <t>GASY FRUITS</t>
  </si>
  <si>
    <t>18° 11’ 27.64’’ S
49° 20’ 37.881’’ E</t>
  </si>
  <si>
    <t>« Approuvé » 4052852677264</t>
  </si>
  <si>
    <t>Analandrafia</t>
  </si>
  <si>
    <t>SURFACE,                  ha</t>
  </si>
  <si>
    <t>ROSETTE</t>
  </si>
  <si>
    <t>Besariaka</t>
  </si>
  <si>
    <t>-18,215930                 49,297464</t>
  </si>
  <si>
    <t>Antanambaovao</t>
  </si>
  <si>
    <t>-18,212700                     49,306384</t>
  </si>
  <si>
    <t>-18,13046      49,19098</t>
  </si>
  <si>
    <t>-18,205505     49,311981</t>
  </si>
  <si>
    <t>Fanandrana       +261341783741</t>
  </si>
  <si>
    <t>Kalovarahana</t>
  </si>
  <si>
    <t>-18,238823             49,311973</t>
  </si>
  <si>
    <t>-18,234838    49,295340</t>
  </si>
  <si>
    <t>-18,227805             49,290669</t>
  </si>
  <si>
    <t>Mahatsinjo</t>
  </si>
  <si>
    <t>-18,245019             49,279372</t>
  </si>
  <si>
    <t>-18,239138   49,305202</t>
  </si>
  <si>
    <t>TOLOJANAHARY Modeste</t>
  </si>
  <si>
    <t>Tanandava         +2610340474462</t>
  </si>
  <si>
    <t>Tanandava</t>
  </si>
  <si>
    <t>-18,163234        49,346377</t>
  </si>
  <si>
    <t>Tananambo</t>
  </si>
  <si>
    <t>TELOVAVY Léonie</t>
  </si>
  <si>
    <t>Tananambo     +261346063215</t>
  </si>
  <si>
    <t>-18,234327            49,299880</t>
  </si>
  <si>
    <t>Ambodisovoka</t>
  </si>
  <si>
    <t>-18,598268              49,116601</t>
  </si>
  <si>
    <t>Ampiampiamena</t>
  </si>
  <si>
    <t>.-18.59427                 49.13201</t>
  </si>
  <si>
    <t>Ankongondrazana</t>
  </si>
  <si>
    <t>.-18.59015                                         49.11589</t>
  </si>
  <si>
    <t>Ampasimazava</t>
  </si>
  <si>
    <t>.-18.597166              49.100611</t>
  </si>
  <si>
    <t>Andobo</t>
  </si>
  <si>
    <t>.-17.428578                  49.396510</t>
  </si>
  <si>
    <t xml:space="preserve">« Approuvé »  4063061980892 </t>
  </si>
  <si>
    <t>Tsarasaotra</t>
  </si>
  <si>
    <t>Tananambo                        +261341213209</t>
  </si>
  <si>
    <t>Tananambo                     +261342730170</t>
  </si>
  <si>
    <t>Tananambo                 +261347924954</t>
  </si>
  <si>
    <t>Sahavalaina  +261340876321</t>
  </si>
  <si>
    <t>RAMANANTSOA Gabriel</t>
  </si>
  <si>
    <t>RAZAFIMAHEFA Alexis Bien Aimé</t>
  </si>
  <si>
    <t>Melville 1</t>
  </si>
  <si>
    <t>Melville 2</t>
  </si>
  <si>
    <t xml:space="preserve">JHONNY Xavier </t>
  </si>
  <si>
    <t>« Approuvé »   4063061980878</t>
  </si>
  <si>
    <t>YVETTE Léontine</t>
  </si>
  <si>
    <t xml:space="preserve">« Approuvé »      4063061980908 </t>
  </si>
  <si>
    <t>Antanandava</t>
  </si>
  <si>
    <t xml:space="preserve">   15/10/2021 25/10/2022         06/11/2023</t>
  </si>
  <si>
    <t>15/10/2021  25/10/2022      06/11/2023</t>
  </si>
  <si>
    <t>15/10/2021 26/10/2022 07/11/2023</t>
  </si>
  <si>
    <t>23- 24/10/2022      08/11/2023</t>
  </si>
  <si>
    <t>26/10/2022     05/11/2023</t>
  </si>
  <si>
    <t>26/10/2022 07/11/2023</t>
  </si>
  <si>
    <t>29-30 /10/2022   09/11/2023</t>
  </si>
  <si>
    <t>« Approuvé »     4063651381313</t>
  </si>
  <si>
    <t>« Approuvé » 4063651381320</t>
  </si>
  <si>
    <t xml:space="preserve">« Approuvé » 4063651381344   </t>
  </si>
  <si>
    <t xml:space="preserve">« Approuvé »  4063651381351 </t>
  </si>
  <si>
    <t>26 Rue Paul Doumer Anjoma - Toamasina</t>
  </si>
  <si>
    <t xml:space="preserve"> 02/11/2021 02/11/2022    13/11/2023</t>
  </si>
  <si>
    <t>Nom du document :</t>
  </si>
  <si>
    <t>REGISTRE DES PRODUCTEURS</t>
  </si>
  <si>
    <t>Motif de la révision :</t>
  </si>
  <si>
    <t xml:space="preserve">Code du document : </t>
  </si>
  <si>
    <t>Version :</t>
  </si>
  <si>
    <t>QM 1.3  Registre_ Product</t>
  </si>
  <si>
    <t>V17</t>
  </si>
  <si>
    <t>FR</t>
  </si>
  <si>
    <t>V18</t>
  </si>
  <si>
    <t>Date de la première publication :</t>
  </si>
  <si>
    <t>Date de révision :</t>
  </si>
  <si>
    <t>Expire-le :</t>
  </si>
  <si>
    <t>Jusqu'à nouvel ordre</t>
  </si>
  <si>
    <t>V16</t>
  </si>
  <si>
    <t>Révision annuelle</t>
  </si>
  <si>
    <t>VICTOR</t>
  </si>
  <si>
    <t xml:space="preserve">RIANTSOA </t>
  </si>
  <si>
    <t>Mamy Harinirina</t>
  </si>
  <si>
    <r>
      <t xml:space="preserve">Élaboré par : </t>
    </r>
    <r>
      <rPr>
        <sz val="11"/>
        <color theme="1"/>
        <rFont val="Calibri"/>
        <family val="2"/>
        <scheme val="minor"/>
      </rPr>
      <t>RAQT</t>
    </r>
  </si>
  <si>
    <r>
      <rPr>
        <b/>
        <sz val="11"/>
        <color theme="1"/>
        <rFont val="Calibri"/>
        <family val="2"/>
        <scheme val="minor"/>
      </rPr>
      <t>Approuvé par :</t>
    </r>
    <r>
      <rPr>
        <sz val="11"/>
        <color theme="1"/>
        <rFont val="Calibri"/>
        <family val="2"/>
        <scheme val="minor"/>
      </rPr>
      <t xml:space="preserve"> Gérant</t>
    </r>
  </si>
  <si>
    <r>
      <rPr>
        <b/>
        <sz val="11"/>
        <color theme="1"/>
        <rFont val="Times New Roman"/>
        <family val="1"/>
      </rPr>
      <t xml:space="preserve">Produit inscrit: </t>
    </r>
    <r>
      <rPr>
        <sz val="11"/>
        <color theme="1"/>
        <rFont val="Times New Roman"/>
        <family val="1"/>
      </rPr>
      <t xml:space="preserve">- variété : litchi chinensis /Kwai mee                                                                                                      </t>
    </r>
    <r>
      <rPr>
        <b/>
        <sz val="11"/>
        <color theme="1"/>
        <rFont val="Times New Roman"/>
        <family val="1"/>
      </rPr>
      <t xml:space="preserve"> Site de manutention</t>
    </r>
    <r>
      <rPr>
        <sz val="11"/>
        <color theme="1"/>
        <rFont val="Times New Roman"/>
        <family val="1"/>
      </rPr>
      <t xml:space="preserve"> : Station GASY FRUITS Antanandava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</si>
</sst>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 mmmm\ yy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6"/>
      <color theme="0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7" fillId="0" borderId="6" xfId="0" applyFont="1" applyBorder="1"/>
    <xf numFmtId="0" fontId="0" fillId="0" borderId="7" xfId="0" applyBorder="1"/>
    <xf numFmtId="0" fontId="7" fillId="3" borderId="8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/>
    <xf numFmtId="0" fontId="7" fillId="0" borderId="10" xfId="0" applyFont="1" applyBorder="1"/>
    <xf numFmtId="0" fontId="0" fillId="0" borderId="11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7" fillId="3" borderId="12" xfId="0" applyFont="1" applyFill="1" applyBorder="1"/>
    <xf numFmtId="0" fontId="7" fillId="3" borderId="1" xfId="0" applyFont="1" applyFill="1" applyBorder="1" applyAlignment="1">
      <alignment horizontal="left" vertical="center"/>
    </xf>
    <xf numFmtId="0" fontId="0" fillId="0" borderId="12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/>
    </xf>
    <xf numFmtId="0" fontId="7" fillId="0" borderId="13" xfId="0" applyFont="1" applyBorder="1"/>
    <xf numFmtId="0" fontId="0" fillId="0" borderId="14" xfId="0" applyBorder="1"/>
    <xf numFmtId="0" fontId="0" fillId="0" borderId="12" xfId="0" applyBorder="1" applyAlignment="1">
      <alignment horizontal="left" vertical="center"/>
    </xf>
    <xf numFmtId="0" fontId="0" fillId="3" borderId="12" xfId="0" applyFill="1" applyBorder="1"/>
    <xf numFmtId="0" fontId="0" fillId="0" borderId="6" xfId="0" applyBorder="1"/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7" fillId="0" borderId="0" xfId="0" applyFont="1"/>
    <xf numFmtId="164" fontId="0" fillId="0" borderId="12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10</xdr:row>
      <xdr:rowOff>28586</xdr:rowOff>
    </xdr:from>
    <xdr:to>
      <xdr:col>1</xdr:col>
      <xdr:colOff>1801125</xdr:colOff>
      <xdr:row>11</xdr:row>
      <xdr:rowOff>136148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660B4BE-78BE-488C-B3AE-C1B261F9A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33586"/>
          <a:ext cx="1944000" cy="298062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</xdr:row>
      <xdr:rowOff>142881</xdr:rowOff>
    </xdr:from>
    <xdr:to>
      <xdr:col>1</xdr:col>
      <xdr:colOff>1897500</xdr:colOff>
      <xdr:row>6</xdr:row>
      <xdr:rowOff>14676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1F82B59-B625-E77F-0B75-88AD23300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523881"/>
          <a:ext cx="2088000" cy="633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12" zoomScaleNormal="100" workbookViewId="0">
      <selection activeCell="I17" sqref="I17"/>
    </sheetView>
  </sheetViews>
  <sheetFormatPr baseColWidth="10" defaultColWidth="11.5" defaultRowHeight="13" x14ac:dyDescent="0.15"/>
  <cols>
    <col min="1" max="1" width="4.6640625" style="2" customWidth="1"/>
    <col min="2" max="2" width="30.5" style="2" customWidth="1"/>
    <col min="3" max="3" width="21.5" style="2" customWidth="1"/>
    <col min="4" max="4" width="20.6640625" style="2" customWidth="1"/>
    <col min="5" max="5" width="7" style="2" customWidth="1"/>
    <col min="6" max="6" width="7.5" style="2" customWidth="1"/>
    <col min="7" max="7" width="15" style="2" customWidth="1"/>
    <col min="8" max="8" width="7.83203125" style="2" customWidth="1"/>
    <col min="9" max="9" width="12.5" style="2" customWidth="1"/>
    <col min="10" max="10" width="17.5" style="2" customWidth="1"/>
    <col min="11" max="16384" width="11.5" style="2"/>
  </cols>
  <sheetData>
    <row r="1" spans="1:10" customFormat="1" ht="15" x14ac:dyDescent="0.2">
      <c r="A1" s="22"/>
      <c r="B1" s="23"/>
      <c r="C1" s="24" t="s">
        <v>76</v>
      </c>
      <c r="D1" s="25"/>
      <c r="E1" s="25"/>
      <c r="F1" s="25"/>
      <c r="G1" s="25"/>
      <c r="H1" s="25"/>
      <c r="I1" s="26"/>
      <c r="J1" s="27"/>
    </row>
    <row r="2" spans="1:10" customFormat="1" ht="15" x14ac:dyDescent="0.2">
      <c r="A2" s="28"/>
      <c r="B2" s="29"/>
      <c r="C2" s="30" t="s">
        <v>77</v>
      </c>
      <c r="D2" s="30"/>
      <c r="E2" s="30"/>
      <c r="F2" s="30"/>
      <c r="G2" s="30"/>
      <c r="H2" s="30"/>
      <c r="I2" s="31"/>
      <c r="J2" s="32"/>
    </row>
    <row r="3" spans="1:10" customFormat="1" ht="15" x14ac:dyDescent="0.2">
      <c r="A3" s="28"/>
      <c r="B3" s="29"/>
      <c r="C3" s="24" t="s">
        <v>78</v>
      </c>
      <c r="D3" s="25"/>
      <c r="E3" s="27"/>
      <c r="F3" s="33" t="s">
        <v>79</v>
      </c>
      <c r="G3" s="25"/>
      <c r="H3" s="27"/>
      <c r="I3" s="34" t="s">
        <v>80</v>
      </c>
      <c r="J3" s="27"/>
    </row>
    <row r="4" spans="1:10" customFormat="1" ht="15" x14ac:dyDescent="0.2">
      <c r="A4" s="28"/>
      <c r="B4" s="29"/>
      <c r="C4" s="35" t="s">
        <v>90</v>
      </c>
      <c r="D4" s="30"/>
      <c r="E4" s="30"/>
      <c r="F4" s="35" t="s">
        <v>81</v>
      </c>
      <c r="G4" s="30"/>
      <c r="H4" s="32"/>
      <c r="I4" s="36" t="s">
        <v>89</v>
      </c>
      <c r="J4" s="32" t="s">
        <v>83</v>
      </c>
    </row>
    <row r="5" spans="1:10" customFormat="1" ht="15" x14ac:dyDescent="0.2">
      <c r="A5" s="28"/>
      <c r="B5" s="29"/>
      <c r="C5" s="35" t="s">
        <v>90</v>
      </c>
      <c r="D5" s="30"/>
      <c r="E5" s="30"/>
      <c r="F5" s="35" t="s">
        <v>81</v>
      </c>
      <c r="G5" s="30"/>
      <c r="H5" s="32"/>
      <c r="I5" s="36" t="s">
        <v>82</v>
      </c>
      <c r="J5" s="32" t="s">
        <v>83</v>
      </c>
    </row>
    <row r="6" spans="1:10" customFormat="1" ht="15" x14ac:dyDescent="0.2">
      <c r="A6" s="28"/>
      <c r="B6" s="29"/>
      <c r="C6" s="35" t="s">
        <v>90</v>
      </c>
      <c r="D6" s="30"/>
      <c r="E6" s="32"/>
      <c r="F6" s="35" t="s">
        <v>81</v>
      </c>
      <c r="G6" s="30"/>
      <c r="H6" s="32"/>
      <c r="I6" s="36" t="s">
        <v>84</v>
      </c>
      <c r="J6" s="32" t="s">
        <v>83</v>
      </c>
    </row>
    <row r="7" spans="1:10" customFormat="1" ht="15" x14ac:dyDescent="0.2">
      <c r="A7" s="28"/>
      <c r="B7" s="29"/>
      <c r="C7" s="35"/>
      <c r="D7" s="30"/>
      <c r="E7" s="32"/>
      <c r="F7" s="35"/>
      <c r="G7" s="30"/>
      <c r="H7" s="32"/>
      <c r="I7" s="37"/>
      <c r="J7" s="32"/>
    </row>
    <row r="8" spans="1:10" customFormat="1" ht="15" x14ac:dyDescent="0.2">
      <c r="A8" s="28"/>
      <c r="B8" s="29"/>
      <c r="C8" s="24" t="s">
        <v>85</v>
      </c>
      <c r="D8" s="25"/>
      <c r="E8" s="27"/>
      <c r="F8" s="33" t="s">
        <v>86</v>
      </c>
      <c r="G8" s="25"/>
      <c r="H8" s="27"/>
      <c r="I8" s="38" t="s">
        <v>87</v>
      </c>
      <c r="J8" s="27"/>
    </row>
    <row r="9" spans="1:10" customFormat="1" ht="15" x14ac:dyDescent="0.2">
      <c r="A9" s="39"/>
      <c r="B9" s="40"/>
      <c r="C9" s="52">
        <v>41581</v>
      </c>
      <c r="D9" s="53"/>
      <c r="F9" s="52">
        <v>45245</v>
      </c>
      <c r="G9" s="53"/>
      <c r="H9" s="32"/>
      <c r="I9" s="41" t="s">
        <v>88</v>
      </c>
      <c r="J9" s="32"/>
    </row>
    <row r="10" spans="1:10" customFormat="1" ht="15" x14ac:dyDescent="0.2">
      <c r="A10" s="22"/>
      <c r="B10" s="23"/>
      <c r="C10" s="24" t="s">
        <v>94</v>
      </c>
      <c r="D10" s="25"/>
      <c r="E10" s="27"/>
      <c r="F10" s="42" t="s">
        <v>95</v>
      </c>
      <c r="G10" s="25"/>
      <c r="H10" s="25"/>
      <c r="I10" s="26"/>
      <c r="J10" s="27"/>
    </row>
    <row r="11" spans="1:10" customFormat="1" ht="15" x14ac:dyDescent="0.2">
      <c r="A11" s="28"/>
      <c r="C11" s="43" t="s">
        <v>92</v>
      </c>
      <c r="D11" s="44"/>
      <c r="E11" s="23"/>
      <c r="F11" s="43" t="s">
        <v>91</v>
      </c>
      <c r="G11" s="44"/>
      <c r="H11" s="44"/>
      <c r="I11" s="45"/>
      <c r="J11" s="23"/>
    </row>
    <row r="12" spans="1:10" customFormat="1" ht="15" x14ac:dyDescent="0.2">
      <c r="A12" s="28"/>
      <c r="C12" s="46" t="s">
        <v>93</v>
      </c>
      <c r="E12" s="29"/>
      <c r="F12" s="46"/>
      <c r="I12" s="47"/>
      <c r="J12" s="29"/>
    </row>
    <row r="13" spans="1:10" customFormat="1" ht="15" x14ac:dyDescent="0.2">
      <c r="A13" s="39"/>
      <c r="B13" s="48"/>
      <c r="C13" s="49"/>
      <c r="D13" s="48"/>
      <c r="E13" s="40"/>
      <c r="F13" s="49"/>
      <c r="G13" s="48"/>
      <c r="H13" s="48"/>
      <c r="I13" s="50"/>
      <c r="J13" s="40"/>
    </row>
    <row r="14" spans="1:10" customFormat="1" ht="6" customHeight="1" x14ac:dyDescent="0.2">
      <c r="A14" s="51"/>
      <c r="I14" s="47"/>
    </row>
    <row r="15" spans="1:10" s="3" customFormat="1" ht="18" x14ac:dyDescent="0.2">
      <c r="A15" s="64" t="s">
        <v>6</v>
      </c>
      <c r="B15" s="64"/>
      <c r="C15" s="64"/>
      <c r="D15" s="64"/>
      <c r="E15" s="64"/>
      <c r="F15" s="64"/>
      <c r="G15" s="64"/>
      <c r="H15" s="64"/>
      <c r="I15" s="64"/>
      <c r="J15" s="64"/>
    </row>
    <row r="16" spans="1:10" s="3" customFormat="1" ht="22" customHeight="1" x14ac:dyDescent="0.2">
      <c r="A16" s="63" t="s">
        <v>96</v>
      </c>
      <c r="B16" s="63"/>
      <c r="C16" s="63"/>
      <c r="D16" s="63"/>
      <c r="E16" s="63"/>
      <c r="F16" s="63"/>
      <c r="G16" s="63"/>
      <c r="H16" s="63"/>
      <c r="I16" s="63"/>
      <c r="J16" s="63"/>
    </row>
    <row r="17" spans="1:15" s="3" customFormat="1" ht="45" customHeight="1" x14ac:dyDescent="0.2">
      <c r="A17" s="8" t="s">
        <v>5</v>
      </c>
      <c r="B17" s="9" t="s">
        <v>7</v>
      </c>
      <c r="C17" s="9" t="s">
        <v>8</v>
      </c>
      <c r="D17" s="9" t="s">
        <v>0</v>
      </c>
      <c r="E17" s="9" t="s">
        <v>1</v>
      </c>
      <c r="F17" s="9" t="s">
        <v>2</v>
      </c>
      <c r="G17" s="8" t="s">
        <v>3</v>
      </c>
      <c r="H17" s="9" t="s">
        <v>14</v>
      </c>
      <c r="I17" s="9" t="s">
        <v>4</v>
      </c>
      <c r="J17" s="9" t="s">
        <v>9</v>
      </c>
    </row>
    <row r="18" spans="1:15" s="1" customFormat="1" ht="45" customHeight="1" x14ac:dyDescent="0.2">
      <c r="A18" s="4"/>
      <c r="B18" s="4" t="s">
        <v>10</v>
      </c>
      <c r="C18" s="5" t="s">
        <v>74</v>
      </c>
      <c r="D18" s="4" t="s">
        <v>62</v>
      </c>
      <c r="E18" s="4"/>
      <c r="F18" s="4"/>
      <c r="G18" s="5" t="s">
        <v>11</v>
      </c>
      <c r="H18" s="4"/>
      <c r="I18" s="12" t="s">
        <v>75</v>
      </c>
      <c r="J18" s="5" t="s">
        <v>12</v>
      </c>
    </row>
    <row r="19" spans="1:15" s="1" customFormat="1" ht="45" customHeight="1" x14ac:dyDescent="0.2">
      <c r="A19" s="13">
        <v>1</v>
      </c>
      <c r="B19" s="21" t="s">
        <v>15</v>
      </c>
      <c r="C19" s="20" t="s">
        <v>50</v>
      </c>
      <c r="D19" s="13" t="s">
        <v>16</v>
      </c>
      <c r="E19" s="10">
        <v>29</v>
      </c>
      <c r="F19" s="13">
        <v>120</v>
      </c>
      <c r="G19" s="6" t="s">
        <v>17</v>
      </c>
      <c r="H19" s="13">
        <v>3.38</v>
      </c>
      <c r="I19" s="16" t="s">
        <v>63</v>
      </c>
      <c r="J19" s="15" t="s">
        <v>59</v>
      </c>
      <c r="L19" s="1">
        <f>+F19*150</f>
        <v>18000</v>
      </c>
      <c r="M19" s="1">
        <f>+F19*100</f>
        <v>12000</v>
      </c>
      <c r="N19" s="1">
        <v>1.2</v>
      </c>
      <c r="O19" s="1">
        <f>L19/N19</f>
        <v>15000</v>
      </c>
    </row>
    <row r="20" spans="1:15" s="1" customFormat="1" ht="45" customHeight="1" x14ac:dyDescent="0.2">
      <c r="A20" s="54">
        <v>2</v>
      </c>
      <c r="B20" s="58" t="s">
        <v>60</v>
      </c>
      <c r="C20" s="59" t="s">
        <v>51</v>
      </c>
      <c r="D20" s="14" t="s">
        <v>18</v>
      </c>
      <c r="E20" s="11">
        <v>30</v>
      </c>
      <c r="F20" s="4">
        <v>50</v>
      </c>
      <c r="G20" s="7" t="s">
        <v>19</v>
      </c>
      <c r="H20" s="4">
        <v>0.83899999999999997</v>
      </c>
      <c r="I20" s="61" t="s">
        <v>64</v>
      </c>
      <c r="J20" s="56" t="s">
        <v>48</v>
      </c>
    </row>
    <row r="21" spans="1:15" s="1" customFormat="1" ht="45" customHeight="1" x14ac:dyDescent="0.2">
      <c r="A21" s="55"/>
      <c r="B21" s="55"/>
      <c r="C21" s="57"/>
      <c r="D21" s="14" t="s">
        <v>13</v>
      </c>
      <c r="E21" s="11">
        <v>31</v>
      </c>
      <c r="F21" s="4">
        <v>100</v>
      </c>
      <c r="G21" s="7" t="s">
        <v>20</v>
      </c>
      <c r="H21" s="4">
        <v>3.67</v>
      </c>
      <c r="I21" s="62"/>
      <c r="J21" s="57"/>
    </row>
    <row r="22" spans="1:15" s="1" customFormat="1" ht="45" customHeight="1" x14ac:dyDescent="0.2">
      <c r="A22" s="17">
        <v>3</v>
      </c>
      <c r="B22" s="21" t="s">
        <v>54</v>
      </c>
      <c r="C22" s="20" t="s">
        <v>52</v>
      </c>
      <c r="D22" s="13" t="s">
        <v>49</v>
      </c>
      <c r="E22" s="10">
        <v>32</v>
      </c>
      <c r="F22" s="13">
        <v>80</v>
      </c>
      <c r="G22" s="6" t="s">
        <v>21</v>
      </c>
      <c r="H22" s="13">
        <v>1.64</v>
      </c>
      <c r="I22" s="19" t="s">
        <v>65</v>
      </c>
      <c r="J22" s="18" t="s">
        <v>61</v>
      </c>
    </row>
    <row r="23" spans="1:15" s="1" customFormat="1" ht="45" customHeight="1" x14ac:dyDescent="0.2">
      <c r="A23" s="54">
        <v>4</v>
      </c>
      <c r="B23" s="58" t="s">
        <v>58</v>
      </c>
      <c r="C23" s="59" t="s">
        <v>22</v>
      </c>
      <c r="D23" s="4" t="s">
        <v>23</v>
      </c>
      <c r="E23" s="11">
        <v>34</v>
      </c>
      <c r="F23" s="4">
        <v>40</v>
      </c>
      <c r="G23" s="7" t="s">
        <v>24</v>
      </c>
      <c r="H23" s="4">
        <v>2.1800000000000002</v>
      </c>
      <c r="I23" s="60" t="s">
        <v>66</v>
      </c>
      <c r="J23" s="56" t="s">
        <v>70</v>
      </c>
    </row>
    <row r="24" spans="1:15" s="1" customFormat="1" ht="45" customHeight="1" x14ac:dyDescent="0.2">
      <c r="A24" s="54"/>
      <c r="B24" s="54"/>
      <c r="C24" s="56"/>
      <c r="D24" s="4" t="s">
        <v>56</v>
      </c>
      <c r="E24" s="11">
        <v>36</v>
      </c>
      <c r="F24" s="4">
        <v>18</v>
      </c>
      <c r="G24" s="7" t="s">
        <v>25</v>
      </c>
      <c r="H24" s="4">
        <v>0.23799999999999999</v>
      </c>
      <c r="I24" s="61"/>
      <c r="J24" s="56"/>
    </row>
    <row r="25" spans="1:15" s="1" customFormat="1" ht="40.5" customHeight="1" x14ac:dyDescent="0.2">
      <c r="A25" s="54"/>
      <c r="B25" s="54"/>
      <c r="C25" s="56"/>
      <c r="D25" s="4" t="s">
        <v>57</v>
      </c>
      <c r="E25" s="11">
        <v>37</v>
      </c>
      <c r="F25" s="4">
        <v>20</v>
      </c>
      <c r="G25" s="7" t="s">
        <v>26</v>
      </c>
      <c r="H25" s="4">
        <v>0.17199999999999999</v>
      </c>
      <c r="I25" s="61"/>
      <c r="J25" s="56"/>
    </row>
    <row r="26" spans="1:15" s="1" customFormat="1" ht="40.5" customHeight="1" x14ac:dyDescent="0.2">
      <c r="A26" s="54"/>
      <c r="B26" s="54"/>
      <c r="C26" s="56"/>
      <c r="D26" s="4" t="s">
        <v>27</v>
      </c>
      <c r="E26" s="11">
        <v>38</v>
      </c>
      <c r="F26" s="4">
        <v>60</v>
      </c>
      <c r="G26" s="7" t="s">
        <v>28</v>
      </c>
      <c r="H26" s="4">
        <v>0.79700000000000004</v>
      </c>
      <c r="I26" s="61"/>
      <c r="J26" s="56"/>
    </row>
    <row r="27" spans="1:15" s="1" customFormat="1" ht="45" customHeight="1" x14ac:dyDescent="0.2">
      <c r="A27" s="55"/>
      <c r="B27" s="55"/>
      <c r="C27" s="57"/>
      <c r="D27" s="4" t="s">
        <v>23</v>
      </c>
      <c r="E27" s="11">
        <v>39</v>
      </c>
      <c r="F27" s="4">
        <v>15</v>
      </c>
      <c r="G27" s="7" t="s">
        <v>29</v>
      </c>
      <c r="H27" s="4">
        <v>1.1399999999999999</v>
      </c>
      <c r="I27" s="62"/>
      <c r="J27" s="57"/>
    </row>
    <row r="28" spans="1:15" s="1" customFormat="1" ht="45" customHeight="1" x14ac:dyDescent="0.2">
      <c r="A28" s="13">
        <v>5</v>
      </c>
      <c r="B28" s="13" t="s">
        <v>30</v>
      </c>
      <c r="C28" s="15" t="s">
        <v>31</v>
      </c>
      <c r="D28" s="13" t="s">
        <v>32</v>
      </c>
      <c r="E28" s="10">
        <v>40</v>
      </c>
      <c r="F28" s="13">
        <v>100</v>
      </c>
      <c r="G28" s="6" t="s">
        <v>33</v>
      </c>
      <c r="H28" s="13">
        <v>1.86</v>
      </c>
      <c r="I28" s="16" t="s">
        <v>67</v>
      </c>
      <c r="J28" s="15" t="s">
        <v>71</v>
      </c>
    </row>
    <row r="29" spans="1:15" s="1" customFormat="1" ht="45" customHeight="1" x14ac:dyDescent="0.2">
      <c r="A29" s="13">
        <v>6</v>
      </c>
      <c r="B29" s="13" t="s">
        <v>35</v>
      </c>
      <c r="C29" s="15" t="s">
        <v>36</v>
      </c>
      <c r="D29" s="13" t="s">
        <v>34</v>
      </c>
      <c r="E29" s="10">
        <v>42</v>
      </c>
      <c r="F29" s="13">
        <v>125</v>
      </c>
      <c r="G29" s="6" t="s">
        <v>37</v>
      </c>
      <c r="H29" s="13">
        <v>0.84299999999999997</v>
      </c>
      <c r="I29" s="16" t="s">
        <v>68</v>
      </c>
      <c r="J29" s="15" t="s">
        <v>72</v>
      </c>
    </row>
    <row r="30" spans="1:15" s="1" customFormat="1" ht="45" customHeight="1" x14ac:dyDescent="0.2">
      <c r="A30" s="58">
        <v>7</v>
      </c>
      <c r="B30" s="59" t="s">
        <v>55</v>
      </c>
      <c r="C30" s="59" t="s">
        <v>53</v>
      </c>
      <c r="D30" s="4" t="s">
        <v>38</v>
      </c>
      <c r="E30" s="11">
        <v>43</v>
      </c>
      <c r="F30" s="4">
        <v>100</v>
      </c>
      <c r="G30" s="7" t="s">
        <v>39</v>
      </c>
      <c r="H30" s="4">
        <v>1.18</v>
      </c>
      <c r="I30" s="60" t="s">
        <v>69</v>
      </c>
      <c r="J30" s="59" t="s">
        <v>73</v>
      </c>
    </row>
    <row r="31" spans="1:15" ht="45" customHeight="1" x14ac:dyDescent="0.15">
      <c r="A31" s="54"/>
      <c r="B31" s="56"/>
      <c r="C31" s="56"/>
      <c r="D31" s="4" t="s">
        <v>40</v>
      </c>
      <c r="E31" s="11">
        <v>44</v>
      </c>
      <c r="F31" s="4">
        <v>302</v>
      </c>
      <c r="G31" s="7" t="s">
        <v>41</v>
      </c>
      <c r="H31" s="4">
        <v>7.12</v>
      </c>
      <c r="I31" s="61"/>
      <c r="J31" s="56"/>
      <c r="M31" s="2">
        <f>902*150</f>
        <v>135300</v>
      </c>
      <c r="N31" s="2">
        <f>902*100</f>
        <v>90200</v>
      </c>
      <c r="O31" s="2">
        <v>9.02</v>
      </c>
    </row>
    <row r="32" spans="1:15" ht="45" customHeight="1" x14ac:dyDescent="0.15">
      <c r="A32" s="54"/>
      <c r="B32" s="56"/>
      <c r="C32" s="56"/>
      <c r="D32" s="4" t="s">
        <v>42</v>
      </c>
      <c r="E32" s="11">
        <v>45</v>
      </c>
      <c r="F32" s="4">
        <v>200</v>
      </c>
      <c r="G32" s="5" t="s">
        <v>43</v>
      </c>
      <c r="H32" s="4">
        <v>0.60299999999999998</v>
      </c>
      <c r="I32" s="61"/>
      <c r="J32" s="56"/>
    </row>
    <row r="33" spans="1:10" ht="45" customHeight="1" x14ac:dyDescent="0.15">
      <c r="A33" s="54"/>
      <c r="B33" s="56"/>
      <c r="C33" s="56"/>
      <c r="D33" s="4" t="s">
        <v>44</v>
      </c>
      <c r="E33" s="11">
        <v>46</v>
      </c>
      <c r="F33" s="4">
        <v>200</v>
      </c>
      <c r="G33" s="5" t="s">
        <v>45</v>
      </c>
      <c r="H33" s="4">
        <v>3.72</v>
      </c>
      <c r="I33" s="61"/>
      <c r="J33" s="56"/>
    </row>
    <row r="34" spans="1:10" ht="28" x14ac:dyDescent="0.15">
      <c r="A34" s="55"/>
      <c r="B34" s="57"/>
      <c r="C34" s="57"/>
      <c r="D34" s="4" t="s">
        <v>46</v>
      </c>
      <c r="E34" s="11">
        <v>47</v>
      </c>
      <c r="F34" s="4">
        <v>100</v>
      </c>
      <c r="G34" s="5" t="s">
        <v>47</v>
      </c>
      <c r="H34" s="4">
        <v>2.0299999999999998</v>
      </c>
      <c r="I34" s="62"/>
      <c r="J34" s="57"/>
    </row>
    <row r="35" spans="1:10" x14ac:dyDescent="0.15">
      <c r="H35" s="2">
        <f>SUM(H19:H34)</f>
        <v>31.412000000000003</v>
      </c>
    </row>
  </sheetData>
  <mergeCells count="19">
    <mergeCell ref="A30:A34"/>
    <mergeCell ref="C30:C34"/>
    <mergeCell ref="B30:B34"/>
    <mergeCell ref="J30:J34"/>
    <mergeCell ref="I30:I34"/>
    <mergeCell ref="F9:G9"/>
    <mergeCell ref="C9:D9"/>
    <mergeCell ref="A23:A27"/>
    <mergeCell ref="J23:J27"/>
    <mergeCell ref="B23:B27"/>
    <mergeCell ref="C23:C27"/>
    <mergeCell ref="I23:I27"/>
    <mergeCell ref="B20:B21"/>
    <mergeCell ref="C20:C21"/>
    <mergeCell ref="A16:J16"/>
    <mergeCell ref="A15:J15"/>
    <mergeCell ref="A20:A21"/>
    <mergeCell ref="I20:I21"/>
    <mergeCell ref="J20:J21"/>
  </mergeCells>
  <phoneticPr fontId="8" type="noConversion"/>
  <pageMargins left="0.19685039370078741" right="0.11811023622047245" top="0.39370078740157483" bottom="0.15748031496062992" header="0.11811023622047245" footer="0.15748031496062992"/>
  <pageSetup paperSize="9" orientation="landscape" r:id="rId1"/>
  <headerFooter>
    <oddHeader>&amp;RPage &amp;P sur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Microsoft Office User</cp:lastModifiedBy>
  <cp:lastPrinted>2023-11-17T02:44:55Z</cp:lastPrinted>
  <dcterms:created xsi:type="dcterms:W3CDTF">2019-01-24T07:37:40Z</dcterms:created>
  <dcterms:modified xsi:type="dcterms:W3CDTF">2026-04-13T13:19:35Z</dcterms:modified>
</cp:coreProperties>
</file>